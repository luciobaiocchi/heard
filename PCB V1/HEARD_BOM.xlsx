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HEARD\"/>
    </mc:Choice>
  </mc:AlternateContent>
  <xr:revisionPtr revIDLastSave="0" documentId="13_ncr:1_{69EC6238-939F-454F-B836-B83CBC22085A}" xr6:coauthVersionLast="47" xr6:coauthVersionMax="47" xr10:uidLastSave="{00000000-0000-0000-0000-000000000000}"/>
  <bookViews>
    <workbookView xWindow="-110" yWindow="-110" windowWidth="19420" windowHeight="12220" xr2:uid="{A43CD410-CE1B-4460-8321-F1BB0BC8D290}"/>
  </bookViews>
  <sheets>
    <sheet name="HEARD_BOM" sheetId="1" r:id="rId1"/>
  </sheets>
  <definedNames>
    <definedName name="_xlnm.Print_Titles" localSheetId="0">HEARD_BOM!$1:$1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1" l="1"/>
</calcChain>
</file>

<file path=xl/sharedStrings.xml><?xml version="1.0" encoding="utf-8"?>
<sst xmlns="http://schemas.openxmlformats.org/spreadsheetml/2006/main" count="315" uniqueCount="171">
  <si>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</si>
  <si>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</si>
  <si>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</si>
  <si>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</si>
  <si>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</si>
  <si>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</si>
  <si>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</si>
  <si>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</si>
  <si>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</si>
  <si>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</si>
  <si>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</si>
  <si>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</si>
  <si>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</si>
  <si>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22u</t>
  </si>
  <si>
    <t>Capacitor</t>
  </si>
  <si>
    <t>C100, C101</t>
  </si>
  <si>
    <t>KYOCERA AVX</t>
  </si>
  <si>
    <t>CM05X5R226M06AH080</t>
  </si>
  <si>
    <t>Volume Production</t>
  </si>
  <si>
    <t>Mouser</t>
  </si>
  <si>
    <t>346-CM05X5R226M6AH80</t>
  </si>
  <si>
    <t>220p</t>
  </si>
  <si>
    <t>C200, C201</t>
  </si>
  <si>
    <t>TAIYO YUDEN</t>
  </si>
  <si>
    <t>LMK042B7221KC-W</t>
  </si>
  <si>
    <t>Arrow Electronics</t>
  </si>
  <si>
    <t>4u7</t>
  </si>
  <si>
    <t>C202, C206, C207, C218, C227, C305</t>
  </si>
  <si>
    <t>Murata</t>
  </si>
  <si>
    <t>GRM035R60J475ME15D</t>
  </si>
  <si>
    <t>81-GRM035R60J475ME5D</t>
  </si>
  <si>
    <t>470n</t>
  </si>
  <si>
    <t>C203</t>
  </si>
  <si>
    <t>GRM022R60J474ME05L</t>
  </si>
  <si>
    <t>81-GRM022R60J474ME05</t>
  </si>
  <si>
    <t>10p</t>
  </si>
  <si>
    <t>C204, C208, C300</t>
  </si>
  <si>
    <t>Yageo Group</t>
  </si>
  <si>
    <t>CQ0100JRNPO8BN100</t>
  </si>
  <si>
    <t>603-CQ0100JRNP8BN100</t>
  </si>
  <si>
    <t>100n</t>
  </si>
  <si>
    <t>C205, C210, C213, C214, C215, C216, C217, C219, C220, C228, C301, C302, C303</t>
  </si>
  <si>
    <t>MSASL042SB5104MWNA01</t>
  </si>
  <si>
    <t>963-MSASL042SB5104MW</t>
  </si>
  <si>
    <t>10n</t>
  </si>
  <si>
    <t>C209</t>
  </si>
  <si>
    <t>Samsung Electro-Mechanics</t>
  </si>
  <si>
    <t>CL02A103KQ2NNNC</t>
  </si>
  <si>
    <t>1u</t>
  </si>
  <si>
    <t>C211, C212, C304</t>
  </si>
  <si>
    <t>CM025X5R105M06AH</t>
  </si>
  <si>
    <t>581-CM025X5R105M06AH</t>
  </si>
  <si>
    <t>47n</t>
  </si>
  <si>
    <t>C221, C306</t>
  </si>
  <si>
    <t>GRM022R60J473ME15L</t>
  </si>
  <si>
    <t>68n</t>
  </si>
  <si>
    <t>C222</t>
  </si>
  <si>
    <t>GRM022R60J683ME15L</t>
  </si>
  <si>
    <t>DigiKey</t>
  </si>
  <si>
    <t>490-9979-1-ND</t>
  </si>
  <si>
    <t>33p</t>
  </si>
  <si>
    <t>C223, C226</t>
  </si>
  <si>
    <t>GRM0225C1H330GA02L</t>
  </si>
  <si>
    <t>81-GRM0225C1H330GA2L</t>
  </si>
  <si>
    <t>DNP</t>
  </si>
  <si>
    <t>C224, C225</t>
  </si>
  <si>
    <t>SMAJ5.0AQ-13-F</t>
  </si>
  <si>
    <t>TVS Diode (Uni-directional)</t>
  </si>
  <si>
    <t>D100</t>
  </si>
  <si>
    <t>Diodes Inc.</t>
  </si>
  <si>
    <t>31-SMAJ5.0AQ-13-FCT-ND</t>
  </si>
  <si>
    <t>STM32WLE5CCU6</t>
  </si>
  <si>
    <t>Integrated Circuit</t>
  </si>
  <si>
    <t>IC200</t>
  </si>
  <si>
    <t>STMicroelectronics</t>
  </si>
  <si>
    <t>511-STM32WLE5CCU6</t>
  </si>
  <si>
    <t>BALFHB-WL-05D3</t>
  </si>
  <si>
    <t>IC201</t>
  </si>
  <si>
    <t>Newark</t>
  </si>
  <si>
    <t>MAX-M10M-20B</t>
  </si>
  <si>
    <t>IC300</t>
  </si>
  <si>
    <t>u-blox</t>
  </si>
  <si>
    <t>Unknown</t>
  </si>
  <si>
    <t>377-MAX-M10M-20B</t>
  </si>
  <si>
    <t>XT30PB</t>
  </si>
  <si>
    <t>Connector</t>
  </si>
  <si>
    <t>J100</t>
  </si>
  <si>
    <t>CONUFL001-SMD-T</t>
  </si>
  <si>
    <t>J200, J300</t>
  </si>
  <si>
    <t>TE Connectivity</t>
  </si>
  <si>
    <t>CONUFL001-SMD-TDKR-ND</t>
  </si>
  <si>
    <t>61300511121</t>
  </si>
  <si>
    <t>J201</t>
  </si>
  <si>
    <t>2u2</t>
  </si>
  <si>
    <t>Inductor</t>
  </si>
  <si>
    <t>L100</t>
  </si>
  <si>
    <t>TDK</t>
  </si>
  <si>
    <t>MLZ1005M2R2WT000</t>
  </si>
  <si>
    <t>Conrad</t>
  </si>
  <si>
    <t>3555253</t>
  </si>
  <si>
    <t>15u</t>
  </si>
  <si>
    <t>L200</t>
  </si>
  <si>
    <t>MLZ1608N150LT000</t>
  </si>
  <si>
    <t>445-MLZ1608N150LT000CT-ND</t>
  </si>
  <si>
    <t>3u3</t>
  </si>
  <si>
    <t>L201</t>
  </si>
  <si>
    <t>LQM18PN3R3MFCL</t>
  </si>
  <si>
    <t>490-LQM18PN3R3MFCLCT-ND</t>
  </si>
  <si>
    <t>82n</t>
  </si>
  <si>
    <t>L203</t>
  </si>
  <si>
    <t>Abracon</t>
  </si>
  <si>
    <t>AISC-0402-82NJ-T</t>
  </si>
  <si>
    <t>535-AISC-0402-82NJ-TCT-ND</t>
  </si>
  <si>
    <t>0 ohm</t>
  </si>
  <si>
    <t>L204</t>
  </si>
  <si>
    <t>AF0402JR-070RL</t>
  </si>
  <si>
    <t>13-AF0402JR-070RLCT-ND</t>
  </si>
  <si>
    <t>L300</t>
  </si>
  <si>
    <t>AISC-0402-10NJ-T</t>
  </si>
  <si>
    <t>815-AISC-0402-10N-J</t>
  </si>
  <si>
    <t>19-213_G6C-AN1P2B_3T</t>
  </si>
  <si>
    <t>LED</t>
  </si>
  <si>
    <t>LED100, LED101</t>
  </si>
  <si>
    <t>Everlight</t>
  </si>
  <si>
    <t>19-213/G6C-AN1P2B/3T</t>
  </si>
  <si>
    <t>Obsolete</t>
  </si>
  <si>
    <t>TPS62162DSGT</t>
  </si>
  <si>
    <t>Power Supply</t>
  </si>
  <si>
    <t>PS100</t>
  </si>
  <si>
    <t>Texas Instruments</t>
  </si>
  <si>
    <t>595-TPS62162DSGT</t>
  </si>
  <si>
    <t>1k</t>
  </si>
  <si>
    <t>Resistor</t>
  </si>
  <si>
    <t>R100, R101</t>
  </si>
  <si>
    <t>Bourns</t>
  </si>
  <si>
    <t>CR0402AFX-1001GAS</t>
  </si>
  <si>
    <t>652-CR0402AFX1001GAS</t>
  </si>
  <si>
    <t>100k</t>
  </si>
  <si>
    <t>R102</t>
  </si>
  <si>
    <t>Vishay</t>
  </si>
  <si>
    <t>MCS04020C1003FE000</t>
  </si>
  <si>
    <t>10k</t>
  </si>
  <si>
    <t>R200</t>
  </si>
  <si>
    <t>Walsin Technologies</t>
  </si>
  <si>
    <t>MR04X1002FTL</t>
  </si>
  <si>
    <t>791-MR04X1002FTL</t>
  </si>
  <si>
    <t>220</t>
  </si>
  <si>
    <t>R201</t>
  </si>
  <si>
    <t>RC0402FR-07220RP</t>
  </si>
  <si>
    <t>603-RC0402FR-07220RP</t>
  </si>
  <si>
    <t>4k7</t>
  </si>
  <si>
    <t>R300, R301</t>
  </si>
  <si>
    <t>AT0402FRE074K7L</t>
  </si>
  <si>
    <t>603-AT0402FRE074K7L</t>
  </si>
  <si>
    <t>22</t>
  </si>
  <si>
    <t>R302</t>
  </si>
  <si>
    <t>CRG0402F22R</t>
  </si>
  <si>
    <t>8-1622826-2</t>
  </si>
  <si>
    <t>BGS12WN6E6327XTSA1</t>
  </si>
  <si>
    <t>Switch</t>
  </si>
  <si>
    <t>S200</t>
  </si>
  <si>
    <t>Infineon</t>
  </si>
  <si>
    <t>TSA010A2518A</t>
  </si>
  <si>
    <t>S201, S202</t>
  </si>
  <si>
    <t>TG2520SMN_32.0000M-ECGNNM0</t>
  </si>
  <si>
    <t>Crystal or Oscillator</t>
  </si>
  <si>
    <t>Y200</t>
  </si>
  <si>
    <t>Epson</t>
  </si>
  <si>
    <t>TG2520SMN 32.0000M-ECGNNM0</t>
  </si>
  <si>
    <t>732-2520SMN32ECGNNM0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</si>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</sst>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9DF5-F904-4AD5-A447-FD274BED6071}">
  <dimension ref="A1:L38"/>
  <sheetViews>
    <sheetView tabSelected="1" workbookViewId="0">
      <selection activeCell="D16" sqref="D16"/>
    </sheetView>
  </sheetViews>
  <sheetFormatPr defaultRowHeight="14.5" x14ac:dyDescent="0.35"/>
  <cols>
    <col min="1" max="1" width="8.81640625" customWidth="1"/>
    <col min="2" max="3" width="18.81640625" customWidth="1"/>
    <col min="4" max="4" width="32.36328125" customWidth="1"/>
    <col min="5" max="5" width="10.6328125" customWidth="1"/>
    <col min="6" max="6" width="16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2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1">
        <v>0.39</v>
      </c>
      <c r="L2" s="1">
        <v>0.78</v>
      </c>
    </row>
    <row r="3" spans="1:12" x14ac:dyDescent="0.35">
      <c r="A3" s="2" t="s">
        <v>12</v>
      </c>
      <c r="B3" s="2" t="s">
        <v>21</v>
      </c>
      <c r="C3" s="2" t="s">
        <v>14</v>
      </c>
      <c r="D3" s="2" t="s">
        <v>22</v>
      </c>
      <c r="E3" s="1">
        <v>2</v>
      </c>
      <c r="F3" s="2" t="s">
        <v>23</v>
      </c>
      <c r="G3" s="2" t="s">
        <v>24</v>
      </c>
      <c r="H3" s="2" t="s">
        <v>18</v>
      </c>
      <c r="I3" s="2" t="s">
        <v>25</v>
      </c>
      <c r="J3" s="2" t="s">
        <v>24</v>
      </c>
      <c r="K3" s="1">
        <v>4.0000000000000001E-3</v>
      </c>
      <c r="L3" s="1">
        <v>8.0000000000000002E-3</v>
      </c>
    </row>
    <row r="4" spans="1:12" x14ac:dyDescent="0.35">
      <c r="A4" s="2" t="s">
        <v>12</v>
      </c>
      <c r="B4" s="2" t="s">
        <v>26</v>
      </c>
      <c r="C4" s="2" t="s">
        <v>14</v>
      </c>
      <c r="D4" s="2" t="s">
        <v>27</v>
      </c>
      <c r="E4" s="1">
        <v>6</v>
      </c>
      <c r="F4" s="2" t="s">
        <v>28</v>
      </c>
      <c r="G4" s="2" t="s">
        <v>29</v>
      </c>
      <c r="H4" s="2" t="s">
        <v>18</v>
      </c>
      <c r="I4" s="2" t="s">
        <v>19</v>
      </c>
      <c r="J4" s="2" t="s">
        <v>30</v>
      </c>
      <c r="K4" s="1">
        <v>8.4000000000000005E-2</v>
      </c>
      <c r="L4" s="1">
        <v>0.84</v>
      </c>
    </row>
    <row r="5" spans="1:12" x14ac:dyDescent="0.35">
      <c r="A5" s="2" t="s">
        <v>12</v>
      </c>
      <c r="B5" s="2" t="s">
        <v>31</v>
      </c>
      <c r="C5" s="2" t="s">
        <v>14</v>
      </c>
      <c r="D5" s="2" t="s">
        <v>32</v>
      </c>
      <c r="E5" s="1">
        <v>1</v>
      </c>
      <c r="F5" s="2" t="s">
        <v>28</v>
      </c>
      <c r="G5" s="2" t="s">
        <v>33</v>
      </c>
      <c r="H5" s="2" t="s">
        <v>18</v>
      </c>
      <c r="I5" s="2" t="s">
        <v>19</v>
      </c>
      <c r="J5" s="2" t="s">
        <v>34</v>
      </c>
      <c r="K5" s="1">
        <v>0.12</v>
      </c>
      <c r="L5" s="1">
        <v>0.12</v>
      </c>
    </row>
    <row r="6" spans="1:12" x14ac:dyDescent="0.35">
      <c r="A6" s="2" t="s">
        <v>12</v>
      </c>
      <c r="B6" s="2" t="s">
        <v>35</v>
      </c>
      <c r="C6" s="2" t="s">
        <v>14</v>
      </c>
      <c r="D6" s="2" t="s">
        <v>36</v>
      </c>
      <c r="E6" s="1">
        <v>3</v>
      </c>
      <c r="F6" s="2" t="s">
        <v>37</v>
      </c>
      <c r="G6" s="2" t="s">
        <v>38</v>
      </c>
      <c r="H6" s="2" t="s">
        <v>18</v>
      </c>
      <c r="I6" s="2" t="s">
        <v>19</v>
      </c>
      <c r="J6" s="2" t="s">
        <v>39</v>
      </c>
      <c r="K6" s="1">
        <v>1.7000000000000001E-2</v>
      </c>
      <c r="L6" s="1">
        <v>0.17</v>
      </c>
    </row>
    <row r="7" spans="1:12" x14ac:dyDescent="0.35">
      <c r="A7" s="2" t="s">
        <v>12</v>
      </c>
      <c r="B7" s="2" t="s">
        <v>40</v>
      </c>
      <c r="C7" s="2" t="s">
        <v>14</v>
      </c>
      <c r="D7" s="2" t="s">
        <v>41</v>
      </c>
      <c r="E7" s="1">
        <v>13</v>
      </c>
      <c r="F7" s="2" t="s">
        <v>23</v>
      </c>
      <c r="G7" s="2" t="s">
        <v>42</v>
      </c>
      <c r="H7" s="2" t="s">
        <v>18</v>
      </c>
      <c r="I7" s="2" t="s">
        <v>19</v>
      </c>
      <c r="J7" s="2" t="s">
        <v>43</v>
      </c>
      <c r="K7" s="1">
        <v>1.7000000000000001E-2</v>
      </c>
      <c r="L7" s="1">
        <v>0.221</v>
      </c>
    </row>
    <row r="8" spans="1:12" x14ac:dyDescent="0.35">
      <c r="A8" s="2" t="s">
        <v>12</v>
      </c>
      <c r="B8" s="2" t="s">
        <v>44</v>
      </c>
      <c r="C8" s="2" t="s">
        <v>14</v>
      </c>
      <c r="D8" s="2" t="s">
        <v>45</v>
      </c>
      <c r="E8" s="1">
        <v>1</v>
      </c>
      <c r="F8" s="2" t="s">
        <v>46</v>
      </c>
      <c r="G8" s="2" t="s">
        <v>47</v>
      </c>
      <c r="H8" s="2" t="s">
        <v>18</v>
      </c>
      <c r="I8" s="2" t="s">
        <v>25</v>
      </c>
      <c r="J8" s="2" t="s">
        <v>47</v>
      </c>
      <c r="K8" s="1">
        <v>4.0000000000000001E-3</v>
      </c>
      <c r="L8" s="1">
        <v>4.0000000000000001E-3</v>
      </c>
    </row>
    <row r="9" spans="1:12" x14ac:dyDescent="0.35">
      <c r="A9" s="2" t="s">
        <v>12</v>
      </c>
      <c r="B9" s="2" t="s">
        <v>48</v>
      </c>
      <c r="C9" s="2" t="s">
        <v>14</v>
      </c>
      <c r="D9" s="2" t="s">
        <v>49</v>
      </c>
      <c r="E9" s="1">
        <v>3</v>
      </c>
      <c r="F9" s="2" t="s">
        <v>16</v>
      </c>
      <c r="G9" s="2" t="s">
        <v>50</v>
      </c>
      <c r="H9" s="2" t="s">
        <v>18</v>
      </c>
      <c r="I9" s="2" t="s">
        <v>19</v>
      </c>
      <c r="J9" s="2" t="s">
        <v>51</v>
      </c>
      <c r="K9" s="1">
        <v>0.28999999999999998</v>
      </c>
      <c r="L9" s="1">
        <v>0.87</v>
      </c>
    </row>
    <row r="10" spans="1:12" x14ac:dyDescent="0.35">
      <c r="A10" s="2" t="s">
        <v>12</v>
      </c>
      <c r="B10" s="2" t="s">
        <v>52</v>
      </c>
      <c r="C10" s="2" t="s">
        <v>14</v>
      </c>
      <c r="D10" s="2" t="s">
        <v>53</v>
      </c>
      <c r="E10" s="1">
        <v>2</v>
      </c>
      <c r="F10" s="2" t="s">
        <v>28</v>
      </c>
      <c r="G10" s="2" t="s">
        <v>54</v>
      </c>
      <c r="H10" s="2" t="s">
        <v>18</v>
      </c>
      <c r="I10" s="2" t="s">
        <v>25</v>
      </c>
      <c r="J10" s="2" t="s">
        <v>54</v>
      </c>
      <c r="K10" s="1">
        <v>6.9999999999999999E-4</v>
      </c>
      <c r="L10" s="1">
        <v>7.0000000000000001E-3</v>
      </c>
    </row>
    <row r="11" spans="1:12" x14ac:dyDescent="0.35">
      <c r="A11" s="2" t="s">
        <v>12</v>
      </c>
      <c r="B11" s="2" t="s">
        <v>55</v>
      </c>
      <c r="C11" s="2" t="s">
        <v>14</v>
      </c>
      <c r="D11" s="2" t="s">
        <v>56</v>
      </c>
      <c r="E11" s="1">
        <v>1</v>
      </c>
      <c r="F11" s="2" t="s">
        <v>28</v>
      </c>
      <c r="G11" s="2" t="s">
        <v>57</v>
      </c>
      <c r="H11" s="2" t="s">
        <v>18</v>
      </c>
      <c r="I11" s="2" t="s">
        <v>58</v>
      </c>
      <c r="J11" s="2" t="s">
        <v>59</v>
      </c>
      <c r="K11" s="1">
        <v>0.1</v>
      </c>
      <c r="L11" s="1">
        <v>0.1</v>
      </c>
    </row>
    <row r="12" spans="1:12" x14ac:dyDescent="0.35">
      <c r="A12" s="2" t="s">
        <v>12</v>
      </c>
      <c r="B12" s="2" t="s">
        <v>60</v>
      </c>
      <c r="C12" s="2" t="s">
        <v>14</v>
      </c>
      <c r="D12" s="2" t="s">
        <v>61</v>
      </c>
      <c r="E12" s="1">
        <v>2</v>
      </c>
      <c r="F12" s="2" t="s">
        <v>28</v>
      </c>
      <c r="G12" s="2" t="s">
        <v>62</v>
      </c>
      <c r="H12" s="2" t="s">
        <v>18</v>
      </c>
      <c r="I12" s="2" t="s">
        <v>19</v>
      </c>
      <c r="J12" s="2" t="s">
        <v>63</v>
      </c>
      <c r="K12" s="1">
        <v>1.9E-2</v>
      </c>
      <c r="L12" s="1">
        <v>0.19</v>
      </c>
    </row>
    <row r="13" spans="1:12" x14ac:dyDescent="0.35">
      <c r="A13" s="2" t="s">
        <v>12</v>
      </c>
      <c r="B13" s="2" t="s">
        <v>64</v>
      </c>
      <c r="C13" s="2" t="s">
        <v>14</v>
      </c>
      <c r="D13" s="2" t="s">
        <v>65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35">
      <c r="A14" s="2" t="s">
        <v>12</v>
      </c>
      <c r="B14" s="2" t="s">
        <v>66</v>
      </c>
      <c r="C14" s="2" t="s">
        <v>67</v>
      </c>
      <c r="D14" s="2" t="s">
        <v>68</v>
      </c>
      <c r="E14" s="1">
        <v>1</v>
      </c>
      <c r="F14" s="2" t="s">
        <v>69</v>
      </c>
      <c r="G14" s="2" t="s">
        <v>66</v>
      </c>
      <c r="H14" s="2" t="s">
        <v>18</v>
      </c>
      <c r="I14" s="2" t="s">
        <v>58</v>
      </c>
      <c r="J14" s="2" t="s">
        <v>70</v>
      </c>
      <c r="K14" s="1">
        <v>0.56999999999999995</v>
      </c>
      <c r="L14" s="1">
        <v>0.56999999999999995</v>
      </c>
    </row>
    <row r="15" spans="1:12" x14ac:dyDescent="0.35">
      <c r="A15" s="2" t="s">
        <v>12</v>
      </c>
      <c r="B15" s="2" t="s">
        <v>71</v>
      </c>
      <c r="C15" s="2" t="s">
        <v>72</v>
      </c>
      <c r="D15" s="2" t="s">
        <v>73</v>
      </c>
      <c r="E15" s="1">
        <v>1</v>
      </c>
      <c r="F15" s="2" t="s">
        <v>74</v>
      </c>
      <c r="G15" s="2" t="s">
        <v>71</v>
      </c>
      <c r="H15" s="2" t="s">
        <v>18</v>
      </c>
      <c r="I15" s="2" t="s">
        <v>19</v>
      </c>
      <c r="J15" s="2" t="s">
        <v>75</v>
      </c>
      <c r="K15" s="1">
        <v>8.92</v>
      </c>
      <c r="L15" s="1">
        <v>8.92</v>
      </c>
    </row>
    <row r="16" spans="1:12" x14ac:dyDescent="0.35">
      <c r="A16" s="2" t="s">
        <v>12</v>
      </c>
      <c r="B16" s="2" t="s">
        <v>76</v>
      </c>
      <c r="C16" s="2" t="s">
        <v>72</v>
      </c>
      <c r="D16" s="2" t="s">
        <v>77</v>
      </c>
      <c r="E16" s="1">
        <v>1</v>
      </c>
      <c r="F16" s="2" t="s">
        <v>74</v>
      </c>
      <c r="G16" s="2" t="s">
        <v>76</v>
      </c>
      <c r="H16" s="2" t="s">
        <v>18</v>
      </c>
      <c r="I16" s="2" t="s">
        <v>78</v>
      </c>
      <c r="J16" s="2" t="s">
        <v>76</v>
      </c>
      <c r="K16" s="1">
        <v>0.49399999999999999</v>
      </c>
      <c r="L16" s="1">
        <v>0.49399999999999999</v>
      </c>
    </row>
    <row r="17" spans="1:12" x14ac:dyDescent="0.35">
      <c r="A17" s="2" t="s">
        <v>12</v>
      </c>
      <c r="B17" s="2" t="s">
        <v>79</v>
      </c>
      <c r="C17" s="2" t="s">
        <v>72</v>
      </c>
      <c r="D17" s="2" t="s">
        <v>80</v>
      </c>
      <c r="E17" s="1">
        <v>1</v>
      </c>
      <c r="F17" s="2" t="s">
        <v>81</v>
      </c>
      <c r="G17" s="2" t="s">
        <v>79</v>
      </c>
      <c r="H17" s="2" t="s">
        <v>82</v>
      </c>
      <c r="I17" s="2" t="s">
        <v>19</v>
      </c>
      <c r="J17" s="2" t="s">
        <v>83</v>
      </c>
      <c r="K17" s="1">
        <v>6.18</v>
      </c>
      <c r="L17" s="1">
        <v>6.18</v>
      </c>
    </row>
    <row r="18" spans="1:12" x14ac:dyDescent="0.35">
      <c r="A18" s="2" t="s">
        <v>12</v>
      </c>
      <c r="B18" s="2" t="s">
        <v>84</v>
      </c>
      <c r="C18" s="2" t="s">
        <v>85</v>
      </c>
      <c r="D18" s="2" t="s">
        <v>86</v>
      </c>
      <c r="E18" s="1">
        <v>1</v>
      </c>
      <c r="F18" s="1"/>
      <c r="G18" s="1"/>
      <c r="H18" s="1"/>
      <c r="I18" s="1"/>
      <c r="J18" s="1"/>
      <c r="K18" s="1"/>
      <c r="L18" s="1"/>
    </row>
    <row r="19" spans="1:12" x14ac:dyDescent="0.35">
      <c r="A19" s="2" t="s">
        <v>12</v>
      </c>
      <c r="B19" s="2" t="s">
        <v>87</v>
      </c>
      <c r="C19" s="2" t="s">
        <v>85</v>
      </c>
      <c r="D19" s="2" t="s">
        <v>88</v>
      </c>
      <c r="E19" s="1">
        <v>2</v>
      </c>
      <c r="F19" s="2" t="s">
        <v>89</v>
      </c>
      <c r="G19" s="2" t="s">
        <v>87</v>
      </c>
      <c r="H19" s="2" t="s">
        <v>18</v>
      </c>
      <c r="I19" s="2" t="s">
        <v>58</v>
      </c>
      <c r="J19" s="2" t="s">
        <v>90</v>
      </c>
      <c r="K19" s="1">
        <v>0.61</v>
      </c>
      <c r="L19" s="1">
        <v>1.22</v>
      </c>
    </row>
    <row r="20" spans="1:12" x14ac:dyDescent="0.35">
      <c r="A20" s="2" t="s">
        <v>12</v>
      </c>
      <c r="B20" s="2" t="s">
        <v>91</v>
      </c>
      <c r="C20" s="2" t="s">
        <v>85</v>
      </c>
      <c r="D20" s="2" t="s">
        <v>92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35">
      <c r="A21" s="2" t="s">
        <v>12</v>
      </c>
      <c r="B21" s="2" t="s">
        <v>93</v>
      </c>
      <c r="C21" s="2" t="s">
        <v>94</v>
      </c>
      <c r="D21" s="2" t="s">
        <v>95</v>
      </c>
      <c r="E21" s="1">
        <v>1</v>
      </c>
      <c r="F21" s="2" t="s">
        <v>96</v>
      </c>
      <c r="G21" s="2" t="s">
        <v>97</v>
      </c>
      <c r="H21" s="2" t="s">
        <v>18</v>
      </c>
      <c r="I21" s="2" t="s">
        <v>98</v>
      </c>
      <c r="J21" s="2" t="s">
        <v>99</v>
      </c>
      <c r="K21" s="1">
        <v>0.14796000000000001</v>
      </c>
      <c r="L21" s="1">
        <v>0.14796000000000001</v>
      </c>
    </row>
    <row r="22" spans="1:12" x14ac:dyDescent="0.35">
      <c r="A22" s="2" t="s">
        <v>12</v>
      </c>
      <c r="B22" s="2" t="s">
        <v>100</v>
      </c>
      <c r="C22" s="2" t="s">
        <v>94</v>
      </c>
      <c r="D22" s="2" t="s">
        <v>101</v>
      </c>
      <c r="E22" s="1">
        <v>1</v>
      </c>
      <c r="F22" s="2" t="s">
        <v>96</v>
      </c>
      <c r="G22" s="2" t="s">
        <v>102</v>
      </c>
      <c r="H22" s="2" t="s">
        <v>18</v>
      </c>
      <c r="I22" s="2" t="s">
        <v>58</v>
      </c>
      <c r="J22" s="2" t="s">
        <v>103</v>
      </c>
      <c r="K22" s="1">
        <v>0.1</v>
      </c>
      <c r="L22" s="1">
        <v>0.1</v>
      </c>
    </row>
    <row r="23" spans="1:12" x14ac:dyDescent="0.35">
      <c r="A23" s="2" t="s">
        <v>12</v>
      </c>
      <c r="B23" s="2" t="s">
        <v>104</v>
      </c>
      <c r="C23" s="2" t="s">
        <v>94</v>
      </c>
      <c r="D23" s="2" t="s">
        <v>105</v>
      </c>
      <c r="E23" s="1">
        <v>1</v>
      </c>
      <c r="F23" s="2" t="s">
        <v>28</v>
      </c>
      <c r="G23" s="2" t="s">
        <v>106</v>
      </c>
      <c r="H23" s="2" t="s">
        <v>18</v>
      </c>
      <c r="I23" s="2" t="s">
        <v>58</v>
      </c>
      <c r="J23" s="2" t="s">
        <v>107</v>
      </c>
      <c r="K23" s="1">
        <v>0.18</v>
      </c>
      <c r="L23" s="1">
        <v>0.18</v>
      </c>
    </row>
    <row r="24" spans="1:12" x14ac:dyDescent="0.35">
      <c r="A24" s="2" t="s">
        <v>12</v>
      </c>
      <c r="B24" s="2" t="s">
        <v>108</v>
      </c>
      <c r="C24" s="2" t="s">
        <v>94</v>
      </c>
      <c r="D24" s="2" t="s">
        <v>109</v>
      </c>
      <c r="E24" s="1">
        <v>1</v>
      </c>
      <c r="F24" s="2" t="s">
        <v>110</v>
      </c>
      <c r="G24" s="2" t="s">
        <v>111</v>
      </c>
      <c r="H24" s="2" t="s">
        <v>18</v>
      </c>
      <c r="I24" s="2" t="s">
        <v>58</v>
      </c>
      <c r="J24" s="2" t="s">
        <v>112</v>
      </c>
      <c r="K24" s="1">
        <v>0.22</v>
      </c>
      <c r="L24" s="1">
        <v>0.22</v>
      </c>
    </row>
    <row r="25" spans="1:12" x14ac:dyDescent="0.35">
      <c r="A25" s="2" t="s">
        <v>12</v>
      </c>
      <c r="B25" s="2" t="s">
        <v>113</v>
      </c>
      <c r="C25" s="2" t="s">
        <v>94</v>
      </c>
      <c r="D25" s="2" t="s">
        <v>114</v>
      </c>
      <c r="E25" s="1">
        <v>1</v>
      </c>
      <c r="F25" s="2" t="s">
        <v>37</v>
      </c>
      <c r="G25" s="2" t="s">
        <v>115</v>
      </c>
      <c r="H25" s="2" t="s">
        <v>18</v>
      </c>
      <c r="I25" s="2" t="s">
        <v>58</v>
      </c>
      <c r="J25" s="2" t="s">
        <v>116</v>
      </c>
      <c r="K25" s="1">
        <v>0.1</v>
      </c>
      <c r="L25" s="1">
        <v>0.1</v>
      </c>
    </row>
    <row r="26" spans="1:12" x14ac:dyDescent="0.35">
      <c r="A26" s="2" t="s">
        <v>12</v>
      </c>
      <c r="B26" s="2" t="s">
        <v>44</v>
      </c>
      <c r="C26" s="2" t="s">
        <v>94</v>
      </c>
      <c r="D26" s="2" t="s">
        <v>117</v>
      </c>
      <c r="E26" s="1">
        <v>1</v>
      </c>
      <c r="F26" s="2" t="s">
        <v>110</v>
      </c>
      <c r="G26" s="2" t="s">
        <v>118</v>
      </c>
      <c r="H26" s="2" t="s">
        <v>18</v>
      </c>
      <c r="I26" s="2" t="s">
        <v>19</v>
      </c>
      <c r="J26" s="2" t="s">
        <v>119</v>
      </c>
      <c r="K26" s="1">
        <v>0.3</v>
      </c>
      <c r="L26" s="1">
        <v>0.3</v>
      </c>
    </row>
    <row r="27" spans="1:12" x14ac:dyDescent="0.35">
      <c r="A27" s="2" t="s">
        <v>12</v>
      </c>
      <c r="B27" s="2" t="s">
        <v>120</v>
      </c>
      <c r="C27" s="2" t="s">
        <v>121</v>
      </c>
      <c r="D27" s="2" t="s">
        <v>122</v>
      </c>
      <c r="E27" s="1">
        <v>2</v>
      </c>
      <c r="F27" s="2" t="s">
        <v>123</v>
      </c>
      <c r="G27" s="2" t="s">
        <v>124</v>
      </c>
      <c r="H27" s="2" t="s">
        <v>125</v>
      </c>
      <c r="I27" s="1"/>
      <c r="J27" s="1"/>
      <c r="K27" s="1"/>
      <c r="L27" s="1"/>
    </row>
    <row r="28" spans="1:12" x14ac:dyDescent="0.35">
      <c r="A28" s="2" t="s">
        <v>12</v>
      </c>
      <c r="B28" s="2" t="s">
        <v>126</v>
      </c>
      <c r="C28" s="2" t="s">
        <v>127</v>
      </c>
      <c r="D28" s="2" t="s">
        <v>128</v>
      </c>
      <c r="E28" s="1">
        <v>1</v>
      </c>
      <c r="F28" s="2" t="s">
        <v>129</v>
      </c>
      <c r="G28" s="2" t="s">
        <v>126</v>
      </c>
      <c r="H28" s="2" t="s">
        <v>18</v>
      </c>
      <c r="I28" s="2" t="s">
        <v>19</v>
      </c>
      <c r="J28" s="2" t="s">
        <v>130</v>
      </c>
      <c r="K28" s="1">
        <v>2.04</v>
      </c>
      <c r="L28" s="1">
        <v>2.04</v>
      </c>
    </row>
    <row r="29" spans="1:12" x14ac:dyDescent="0.35">
      <c r="A29" s="2" t="s">
        <v>12</v>
      </c>
      <c r="B29" s="2" t="s">
        <v>131</v>
      </c>
      <c r="C29" s="2" t="s">
        <v>132</v>
      </c>
      <c r="D29" s="2" t="s">
        <v>133</v>
      </c>
      <c r="E29" s="1">
        <v>2</v>
      </c>
      <c r="F29" s="2" t="s">
        <v>134</v>
      </c>
      <c r="G29" s="2" t="s">
        <v>135</v>
      </c>
      <c r="H29" s="2" t="s">
        <v>18</v>
      </c>
      <c r="I29" s="2" t="s">
        <v>19</v>
      </c>
      <c r="J29" s="2" t="s">
        <v>136</v>
      </c>
      <c r="K29" s="1">
        <v>1.7999999999999999E-2</v>
      </c>
      <c r="L29" s="1">
        <v>0.18</v>
      </c>
    </row>
    <row r="30" spans="1:12" x14ac:dyDescent="0.35">
      <c r="A30" s="2" t="s">
        <v>12</v>
      </c>
      <c r="B30" s="2" t="s">
        <v>137</v>
      </c>
      <c r="C30" s="2" t="s">
        <v>132</v>
      </c>
      <c r="D30" s="2" t="s">
        <v>138</v>
      </c>
      <c r="E30" s="1">
        <v>1</v>
      </c>
      <c r="F30" s="2" t="s">
        <v>139</v>
      </c>
      <c r="G30" s="2" t="s">
        <v>140</v>
      </c>
      <c r="H30" s="2" t="s">
        <v>18</v>
      </c>
      <c r="I30" s="2" t="s">
        <v>25</v>
      </c>
      <c r="J30" s="2" t="s">
        <v>140</v>
      </c>
      <c r="K30" s="1">
        <v>9.2700000000000005E-2</v>
      </c>
      <c r="L30" s="1">
        <v>9.2700000000000005E-2</v>
      </c>
    </row>
    <row r="31" spans="1:12" x14ac:dyDescent="0.35">
      <c r="A31" s="2" t="s">
        <v>12</v>
      </c>
      <c r="B31" s="2" t="s">
        <v>141</v>
      </c>
      <c r="C31" s="2" t="s">
        <v>132</v>
      </c>
      <c r="D31" s="2" t="s">
        <v>142</v>
      </c>
      <c r="E31" s="1">
        <v>1</v>
      </c>
      <c r="F31" s="2" t="s">
        <v>143</v>
      </c>
      <c r="G31" s="2" t="s">
        <v>144</v>
      </c>
      <c r="H31" s="2" t="s">
        <v>18</v>
      </c>
      <c r="I31" s="2" t="s">
        <v>19</v>
      </c>
      <c r="J31" s="2" t="s">
        <v>145</v>
      </c>
      <c r="K31" s="1">
        <v>0.1</v>
      </c>
      <c r="L31" s="1">
        <v>0.1</v>
      </c>
    </row>
    <row r="32" spans="1:12" x14ac:dyDescent="0.35">
      <c r="A32" s="2" t="s">
        <v>12</v>
      </c>
      <c r="B32" s="2" t="s">
        <v>146</v>
      </c>
      <c r="C32" s="2" t="s">
        <v>132</v>
      </c>
      <c r="D32" s="2" t="s">
        <v>147</v>
      </c>
      <c r="E32" s="1">
        <v>1</v>
      </c>
      <c r="F32" s="2" t="s">
        <v>37</v>
      </c>
      <c r="G32" s="2" t="s">
        <v>148</v>
      </c>
      <c r="H32" s="2" t="s">
        <v>18</v>
      </c>
      <c r="I32" s="2" t="s">
        <v>19</v>
      </c>
      <c r="J32" s="2" t="s">
        <v>149</v>
      </c>
      <c r="K32" s="1">
        <v>0.1</v>
      </c>
      <c r="L32" s="1">
        <v>0.1</v>
      </c>
    </row>
    <row r="33" spans="1:12" x14ac:dyDescent="0.35">
      <c r="A33" s="2" t="s">
        <v>12</v>
      </c>
      <c r="B33" s="2" t="s">
        <v>150</v>
      </c>
      <c r="C33" s="2" t="s">
        <v>132</v>
      </c>
      <c r="D33" s="2" t="s">
        <v>151</v>
      </c>
      <c r="E33" s="1">
        <v>2</v>
      </c>
      <c r="F33" s="2" t="s">
        <v>37</v>
      </c>
      <c r="G33" s="2" t="s">
        <v>152</v>
      </c>
      <c r="H33" s="2" t="s">
        <v>18</v>
      </c>
      <c r="I33" s="2" t="s">
        <v>19</v>
      </c>
      <c r="J33" s="2" t="s">
        <v>153</v>
      </c>
      <c r="K33" s="1">
        <v>0.1</v>
      </c>
      <c r="L33" s="1">
        <v>0.2</v>
      </c>
    </row>
    <row r="34" spans="1:12" x14ac:dyDescent="0.35">
      <c r="A34" s="2" t="s">
        <v>12</v>
      </c>
      <c r="B34" s="2" t="s">
        <v>154</v>
      </c>
      <c r="C34" s="2" t="s">
        <v>132</v>
      </c>
      <c r="D34" s="2" t="s">
        <v>155</v>
      </c>
      <c r="E34" s="1">
        <v>1</v>
      </c>
      <c r="F34" s="2" t="s">
        <v>89</v>
      </c>
      <c r="G34" s="2" t="s">
        <v>156</v>
      </c>
      <c r="H34" s="2" t="s">
        <v>18</v>
      </c>
      <c r="I34" s="2" t="s">
        <v>25</v>
      </c>
      <c r="J34" s="2" t="s">
        <v>157</v>
      </c>
      <c r="K34" s="1">
        <v>6.9999999999999999E-4</v>
      </c>
      <c r="L34" s="1">
        <v>6.9999999999999999E-4</v>
      </c>
    </row>
    <row r="35" spans="1:12" x14ac:dyDescent="0.35">
      <c r="A35" s="2" t="s">
        <v>12</v>
      </c>
      <c r="B35" s="2" t="s">
        <v>158</v>
      </c>
      <c r="C35" s="2" t="s">
        <v>159</v>
      </c>
      <c r="D35" s="2" t="s">
        <v>160</v>
      </c>
      <c r="E35" s="1">
        <v>1</v>
      </c>
      <c r="F35" s="2" t="s">
        <v>161</v>
      </c>
      <c r="G35" s="2" t="s">
        <v>158</v>
      </c>
      <c r="H35" s="2" t="s">
        <v>18</v>
      </c>
      <c r="I35" s="2" t="s">
        <v>25</v>
      </c>
      <c r="J35" s="2" t="s">
        <v>158</v>
      </c>
      <c r="K35" s="1">
        <v>0.27</v>
      </c>
      <c r="L35" s="1">
        <v>0.27</v>
      </c>
    </row>
    <row r="36" spans="1:12" x14ac:dyDescent="0.35">
      <c r="A36" s="2" t="s">
        <v>12</v>
      </c>
      <c r="B36" s="2" t="s">
        <v>162</v>
      </c>
      <c r="C36" s="2" t="s">
        <v>159</v>
      </c>
      <c r="D36" s="2" t="s">
        <v>163</v>
      </c>
      <c r="E36" s="1">
        <v>2</v>
      </c>
      <c r="F36" s="1"/>
      <c r="G36" s="1"/>
      <c r="H36" s="1"/>
      <c r="I36" s="1"/>
      <c r="J36" s="1"/>
      <c r="K36" s="1"/>
      <c r="L36" s="1"/>
    </row>
    <row r="37" spans="1:12" x14ac:dyDescent="0.35">
      <c r="A37" s="2" t="s">
        <v>12</v>
      </c>
      <c r="B37" s="2" t="s">
        <v>164</v>
      </c>
      <c r="C37" s="2" t="s">
        <v>165</v>
      </c>
      <c r="D37" s="2" t="s">
        <v>166</v>
      </c>
      <c r="E37" s="1">
        <v>1</v>
      </c>
      <c r="F37" s="2" t="s">
        <v>167</v>
      </c>
      <c r="G37" s="2" t="s">
        <v>168</v>
      </c>
      <c r="H37" s="2" t="s">
        <v>18</v>
      </c>
      <c r="I37" s="2" t="s">
        <v>19</v>
      </c>
      <c r="J37" s="2" t="s">
        <v>169</v>
      </c>
      <c r="K37" s="1">
        <v>0.76</v>
      </c>
      <c r="L37" s="1">
        <v>0.76</v>
      </c>
    </row>
    <row r="38" spans="1:12" x14ac:dyDescent="0.35">
      <c r="B38" s="5" t="s">
        <v>170</v>
      </c>
      <c r="L38">
        <f>SUM(L2:L37)</f>
        <v>25.485360000000004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HEARD_BOM</vt:lpstr>
      <vt:lpstr>HEARD_BOM!Print_Titles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Mukherjee</dc:creator>
  <cp:lastModifiedBy>Saranya Mukherjee</cp:lastModifiedBy>
  <dcterms:created xsi:type="dcterms:W3CDTF">2026-07-02T09:03:09Z</dcterms:created>
  <dcterms:modified xsi:type="dcterms:W3CDTF">2026-07-02T09:04:13Z</dcterms:modified>
</cp:coreProperties>
</file>